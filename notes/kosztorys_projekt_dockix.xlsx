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acje o projekcie" sheetId="1" r:id="rId5"/>
    <sheet state="visible" name="Analiza rynku" sheetId="2" r:id="rId6"/>
    <sheet state="visible" name="Funkcjonalności" sheetId="3" r:id="rId7"/>
    <sheet state="visible" name="Zespół i stawki" sheetId="4" r:id="rId8"/>
    <sheet state="visible" name="Sprzęt i infrastruktura" sheetId="5" r:id="rId9"/>
    <sheet state="visible" name="Podsumowanie kosztów" sheetId="6" r:id="rId10"/>
  </sheets>
  <definedNames/>
  <calcPr/>
</workbook>
</file>

<file path=xl/sharedStrings.xml><?xml version="1.0" encoding="utf-8"?>
<sst xmlns="http://schemas.openxmlformats.org/spreadsheetml/2006/main" count="131" uniqueCount="114">
  <si>
    <t>Pole</t>
  </si>
  <si>
    <t>Wartość</t>
  </si>
  <si>
    <t>Nazwa projektu</t>
  </si>
  <si>
    <t>Dockix – Generator dokumentacji technicznej</t>
  </si>
  <si>
    <t>Klient / Zamawiający</t>
  </si>
  <si>
    <t>Indywidualny</t>
  </si>
  <si>
    <t>Opis projektu</t>
  </si>
  <si>
    <t>Generator dokumentacji z kodu źródłowego (Python) – HTML/PDF</t>
  </si>
  <si>
    <t>Platforma</t>
  </si>
  <si>
    <t>Desktop / Web</t>
  </si>
  <si>
    <t>Planowana data rozpoczęcia</t>
  </si>
  <si>
    <t>Planowana data zakończenia</t>
  </si>
  <si>
    <t>Szacowana liczba godzin pracy zespołu</t>
  </si>
  <si>
    <t>Średnia stawka godzinowa (PLN)</t>
  </si>
  <si>
    <t xml:space="preserve">Szacowany koszt developmentu </t>
  </si>
  <si>
    <t>16 200,00zł</t>
  </si>
  <si>
    <t>Proponowana cena sprzedaży projektu</t>
  </si>
  <si>
    <t>22 000,00zł</t>
  </si>
  <si>
    <t>Szacowany koszt utrzymania miesięcznego</t>
  </si>
  <si>
    <t>System / Narzędzie konkurencyjne</t>
  </si>
  <si>
    <t>Strona / Źródło</t>
  </si>
  <si>
    <t xml:space="preserve">Prywatność </t>
  </si>
  <si>
    <t>Cena</t>
  </si>
  <si>
    <t>Szybkość</t>
  </si>
  <si>
    <t>Łatwość obsługi</t>
  </si>
  <si>
    <t xml:space="preserve">Sphinx </t>
  </si>
  <si>
    <t>https://www.sphinx-doc.org/en/master/</t>
  </si>
  <si>
    <t xml:space="preserve">Lokalnie (Bezpiecznie)  </t>
  </si>
  <si>
    <t xml:space="preserve">Średnia </t>
  </si>
  <si>
    <t xml:space="preserve">Niska (konsole/skrypty) </t>
  </si>
  <si>
    <t>Pdoc</t>
  </si>
  <si>
    <t>https://pdoc.dev</t>
  </si>
  <si>
    <t xml:space="preserve">Mintlify (SaaS) </t>
  </si>
  <si>
    <t>https://www.mintlify.com/startups</t>
  </si>
  <si>
    <t xml:space="preserve">Chmura (ryzykowne) </t>
  </si>
  <si>
    <t>Subskrypcja 0,00-929,66zł / miesiąc</t>
  </si>
  <si>
    <t xml:space="preserve">Zależna od internetu </t>
  </si>
  <si>
    <t>Wysoka</t>
  </si>
  <si>
    <t xml:space="preserve">Dockix </t>
  </si>
  <si>
    <t>W realizacji</t>
  </si>
  <si>
    <t>Subskrypcja 100,00zł/ miesiąc</t>
  </si>
  <si>
    <t>&lt; 10s (Przewidywana)</t>
  </si>
  <si>
    <t xml:space="preserve">Wysoka (Aplikacja) </t>
  </si>
  <si>
    <t>Moduł / Funkcja</t>
  </si>
  <si>
    <t>Opis</t>
  </si>
  <si>
    <t>Priorytet</t>
  </si>
  <si>
    <t>Szacowany czas (godziny)</t>
  </si>
  <si>
    <t>Odpowiedzialna rola</t>
  </si>
  <si>
    <t>Skanowanie katalogu z plikami</t>
  </si>
  <si>
    <t>Przeszukiwanie wybranego folderu i wykrywanie plików .py do analizy</t>
  </si>
  <si>
    <t>Wysoki</t>
  </si>
  <si>
    <t>Backend – Wiktor Kowalski, Radosław Partyka</t>
  </si>
  <si>
    <t>Analiza składni kodu Python</t>
  </si>
  <si>
    <t>Parsowanie plików Python i identyfikacja elementów struktury kodu</t>
  </si>
  <si>
    <t>Wykrywanie klas i metod</t>
  </si>
  <si>
    <t>Wyodrębnianie klas, funkcji i metod z analizowanego kodu</t>
  </si>
  <si>
    <t>Ekstrakcja komentarzy dokumentacyjnych</t>
  </si>
  <si>
    <t>Odczytywanie komentarzy i docstringów powiązanych z elementami kodu</t>
  </si>
  <si>
    <t>Generowanie dokumentacji HTML</t>
  </si>
  <si>
    <t>Tworzenie struktury dokumentacji oraz generowanie plików HTML</t>
  </si>
  <si>
    <t>Frontend – Kajetan Kozielski</t>
  </si>
  <si>
    <t>Eksport dokumentacji do PDF</t>
  </si>
  <si>
    <t>Konwersja wygenerowanej dokumentacji HTML do formatu PDF</t>
  </si>
  <si>
    <t>Średni</t>
  </si>
  <si>
    <t>Backend / integracja – Gracjan Zawada</t>
  </si>
  <si>
    <t>Podgląd dokumentacji w aplikacji</t>
  </si>
  <si>
    <t>Implementacja interfejsu umożliwiającego przeglądanie dokumentacji</t>
  </si>
  <si>
    <t>Frontend – Marek Napora</t>
  </si>
  <si>
    <t>Diagram struktury klas</t>
  </si>
  <si>
    <t>Wizualizacja relacji pomiędzy klasami w analizowanym kodzie</t>
  </si>
  <si>
    <t>Niski</t>
  </si>
  <si>
    <t>Dokumentacja / wizualizacja – Bartosz Nadolski</t>
  </si>
  <si>
    <t>Rola</t>
  </si>
  <si>
    <t>Stawka godzinowa (PLN)</t>
  </si>
  <si>
    <t>Szacowane godziny</t>
  </si>
  <si>
    <t>Koszt</t>
  </si>
  <si>
    <t>Backend Developer (parser kodu)</t>
  </si>
  <si>
    <t>Backend Developer (generator dokumentacji)</t>
  </si>
  <si>
    <t>Frontend oraz testy poprawności (Python)</t>
  </si>
  <si>
    <t>Frontend oraz szata graficzna (Flask/Jango)</t>
  </si>
  <si>
    <t>Integracja projektu</t>
  </si>
  <si>
    <t>Dokumentacja i zarządzanie projektem</t>
  </si>
  <si>
    <t>Element</t>
  </si>
  <si>
    <t>Typ (sprzęt/licencja/usługa)</t>
  </si>
  <si>
    <t>Ilość</t>
  </si>
  <si>
    <t>Cena jednostkowa (PLN)</t>
  </si>
  <si>
    <t>Koszt całkowity</t>
  </si>
  <si>
    <t>Uwagi</t>
  </si>
  <si>
    <t>Repozytorium kodu (Git)</t>
  </si>
  <si>
    <t>usługa</t>
  </si>
  <si>
    <t>Korzystamy z darmowych narzędzi Github dostępnych online</t>
  </si>
  <si>
    <t>Środowisko CI/CD</t>
  </si>
  <si>
    <t>Korzystamy z darmowych narzędzi Github actions dostępnych online</t>
  </si>
  <si>
    <t>JetBrains</t>
  </si>
  <si>
    <t>licencja</t>
  </si>
  <si>
    <t>Korzystamy z darmowej licencji dla studentów</t>
  </si>
  <si>
    <t>Komputery developerskie</t>
  </si>
  <si>
    <t>sprzęt</t>
  </si>
  <si>
    <t>Koszta sprzętu mogą zostać pokryte przez dofinansowanie Unii Europejskiej jeśli wniosek zostanie przyjęty</t>
  </si>
  <si>
    <t>Narzędzia developerskie</t>
  </si>
  <si>
    <t>Koszta narzędzi developerskich zostały w 83% pokryte przez program studencki firmy Google</t>
  </si>
  <si>
    <t>Komputery biurowe</t>
  </si>
  <si>
    <t>Kategoria</t>
  </si>
  <si>
    <t>Szacowany koszt (PLN)</t>
  </si>
  <si>
    <t>Koszt developmentu</t>
  </si>
  <si>
    <t>Koszt sprzętu</t>
  </si>
  <si>
    <t>Koszta mogą zostać pokryte dzięki programowi start up dla firm z dotacji Unii Europejskiej</t>
  </si>
  <si>
    <t>Koszt narzędzi developerskich</t>
  </si>
  <si>
    <t>Koszt licencji</t>
  </si>
  <si>
    <t>Koszt infrastruktury</t>
  </si>
  <si>
    <t>Inne koszty</t>
  </si>
  <si>
    <t>Szacowane zużycie energii elektrycznej podczas realizacji projektu wynosi około 54 kWh dla średniej ceny około 1 zł/kWh.</t>
  </si>
  <si>
    <t>Łączny koszt projektu</t>
  </si>
  <si>
    <t>Łączny koszt projektu jeśli część kosztów zostanie pokryte z dotacji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</si>
</sst>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.mm.yyyy"/>
    <numFmt numFmtId="165" formatCode="#,##0.00&quot;zł&quot;"/>
    <numFmt numFmtId="166" formatCode="#,##0&quot;zł&quot;"/>
    <numFmt numFmtId="167" formatCode="#,##0.00\ [$zł-415]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7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Informacje o projekci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aliza rynk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unkcjonalnośc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Zespół i stawk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rzęt i infrastruktur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odsumowanie kosztów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Informacje_o_projekcie" name="Informacje_o_projekcie" id="1">
  <tableColumns count="2">
    <tableColumn name="Pole" id="1"/>
    <tableColumn name="Wartość" id="2"/>
  </tableColumns>
  <tableStyleInfo name="Informacje o projekcie-style" showColumnStripes="0" showFirstColumn="1" showLastColumn="1" showRowStripes="1"/>
</table>
</file>

<file path=xl/tables/table2.xml><?xml version="1.0" encoding="utf-8"?>
<table xmlns="http://schemas.openxmlformats.org/spreadsheetml/2006/main" ref="A1:F5" displayName="Analiza_rynku" name="Analiza_rynku" id="2">
  <tableColumns count="6">
    <tableColumn name="System / Narzędzie konkurencyjne" id="1"/>
    <tableColumn name="Strona / Źródło" id="2"/>
    <tableColumn name="Prywatność " id="3"/>
    <tableColumn name="Cena" id="4"/>
    <tableColumn name="Szybkość" id="5"/>
    <tableColumn name="Łatwość obsługi" id="6"/>
  </tableColumns>
  <tableStyleInfo name="Analiza rynku-style" showColumnStripes="0" showFirstColumn="1" showLastColumn="1" showRowStripes="1"/>
</table>
</file>

<file path=xl/tables/table3.xml><?xml version="1.0" encoding="utf-8"?>
<table xmlns="http://schemas.openxmlformats.org/spreadsheetml/2006/main" ref="A1:E9" displayName="Fukncjonalności" name="Fukncjonalności" id="3">
  <tableColumns count="5">
    <tableColumn name="Moduł / Funkcja" id="1"/>
    <tableColumn name="Opis" id="2"/>
    <tableColumn name="Priorytet" id="3"/>
    <tableColumn name="Szacowany czas (godziny)" id="4"/>
    <tableColumn name="Odpowiedzialna rola" id="5"/>
  </tableColumns>
  <tableStyleInfo name="Funkcjonalności-style" showColumnStripes="0" showFirstColumn="1" showLastColumn="1" showRowStripes="1"/>
</table>
</file>

<file path=xl/tables/table4.xml><?xml version="1.0" encoding="utf-8"?>
<table xmlns="http://schemas.openxmlformats.org/spreadsheetml/2006/main" ref="A1:D7" displayName="Zespół_i_stawki" name="Zespół_i_stawki" id="4">
  <tableColumns count="4">
    <tableColumn name="Rola" id="1"/>
    <tableColumn name="Stawka godzinowa (PLN)" id="2"/>
    <tableColumn name="Szacowane godziny" id="3"/>
    <tableColumn name="Koszt" id="4"/>
  </tableColumns>
  <tableStyleInfo name="Zespół i stawki-style" showColumnStripes="0" showFirstColumn="1" showLastColumn="1" showRowStripes="1"/>
</table>
</file>

<file path=xl/tables/table5.xml><?xml version="1.0" encoding="utf-8"?>
<table xmlns="http://schemas.openxmlformats.org/spreadsheetml/2006/main" ref="A1:F7" displayName="Sprzęt_i_infrastruktura" name="Sprzęt_i_infrastruktura" id="5">
  <tableColumns count="6">
    <tableColumn name="Element" id="1"/>
    <tableColumn name="Typ (sprzęt/licencja/usługa)" id="2"/>
    <tableColumn name="Ilość" id="3"/>
    <tableColumn name="Cena jednostkowa (PLN)" id="4"/>
    <tableColumn name="Koszt całkowity" id="5"/>
    <tableColumn name="Uwagi" id="6"/>
  </tableColumns>
  <tableStyleInfo name="Sprzęt i infrastruktura-style" showColumnStripes="0" showFirstColumn="1" showLastColumn="1" showRowStripes="1"/>
</table>
</file>

<file path=xl/tables/table6.xml><?xml version="1.0" encoding="utf-8"?>
<table xmlns="http://schemas.openxmlformats.org/spreadsheetml/2006/main" ref="A1:C9" displayName="Podsumowanie_Kosztów" name="Podsumowanie_Kosztów" id="6">
  <tableColumns count="3">
    <tableColumn name="Kategoria" id="1"/>
    <tableColumn name="Szacowany koszt (PLN)" id="2"/>
    <tableColumn name="Uwagi" id="3"/>
  </tableColumns>
  <tableStyleInfo name="Podsumowanie kosztów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phinx-doc.org/en/master/" TargetMode="External"/><Relationship Id="rId2" Type="http://schemas.openxmlformats.org/officeDocument/2006/relationships/hyperlink" Target="https://pdoc.dev" TargetMode="External"/><Relationship Id="rId3" Type="http://schemas.openxmlformats.org/officeDocument/2006/relationships/hyperlink" Target="https://www.mintlify.com/startups" TargetMode="External"/><Relationship Id="rId4" Type="http://schemas.openxmlformats.org/officeDocument/2006/relationships/drawing" Target="../drawings/drawing2.xml"/><Relationship Id="rId6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64.29"/>
    <col customWidth="1" min="3" max="26" width="8.71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3" t="s">
        <v>3</v>
      </c>
    </row>
    <row r="3" ht="22.5" customHeight="1">
      <c r="A3" s="2" t="s">
        <v>4</v>
      </c>
      <c r="B3" s="4" t="s">
        <v>5</v>
      </c>
    </row>
    <row r="4" ht="22.5" customHeight="1">
      <c r="A4" s="2" t="s">
        <v>6</v>
      </c>
      <c r="B4" s="3" t="s">
        <v>7</v>
      </c>
    </row>
    <row r="5" ht="22.5" customHeight="1">
      <c r="A5" s="2" t="s">
        <v>8</v>
      </c>
      <c r="B5" s="3" t="s">
        <v>9</v>
      </c>
    </row>
    <row r="6" ht="22.5" customHeight="1">
      <c r="A6" s="2" t="s">
        <v>10</v>
      </c>
      <c r="B6" s="5">
        <v>46083.0</v>
      </c>
    </row>
    <row r="7" ht="22.5" customHeight="1">
      <c r="A7" s="2" t="s">
        <v>11</v>
      </c>
      <c r="B7" s="5">
        <v>46192.0</v>
      </c>
    </row>
    <row r="8" ht="22.5" customHeight="1">
      <c r="A8" s="6" t="s">
        <v>12</v>
      </c>
      <c r="B8" s="4">
        <v>360.0</v>
      </c>
    </row>
    <row r="9" ht="22.5" customHeight="1">
      <c r="A9" s="2" t="s">
        <v>13</v>
      </c>
      <c r="B9" s="7">
        <v>45.0</v>
      </c>
    </row>
    <row r="10" ht="22.5" customHeight="1">
      <c r="A10" s="6" t="s">
        <v>14</v>
      </c>
      <c r="B10" s="4" t="s">
        <v>15</v>
      </c>
    </row>
    <row r="11" ht="22.5" customHeight="1">
      <c r="A11" s="2" t="s">
        <v>16</v>
      </c>
      <c r="B11" s="4" t="s">
        <v>17</v>
      </c>
    </row>
    <row r="12" ht="22.5" customHeight="1">
      <c r="A12" s="2" t="s">
        <v>18</v>
      </c>
      <c r="B12" s="8">
        <v>100.0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8.43"/>
    <col customWidth="1" min="2" max="2" width="39.71"/>
    <col customWidth="1" min="3" max="3" width="24.57"/>
    <col customWidth="1" min="4" max="4" width="35.57"/>
    <col customWidth="1" min="5" max="5" width="22.14"/>
    <col customWidth="1" min="6" max="6" width="25.29"/>
    <col customWidth="1" min="7" max="25" width="8.71"/>
  </cols>
  <sheetData>
    <row r="1" ht="22.5" customHeight="1">
      <c r="A1" s="1" t="s">
        <v>19</v>
      </c>
      <c r="B1" s="1" t="s">
        <v>20</v>
      </c>
      <c r="C1" s="4" t="s">
        <v>21</v>
      </c>
      <c r="D1" s="1" t="s">
        <v>22</v>
      </c>
      <c r="E1" s="4" t="s">
        <v>23</v>
      </c>
      <c r="F1" s="4" t="s">
        <v>24</v>
      </c>
    </row>
    <row r="2" ht="22.5" customHeight="1">
      <c r="A2" s="6" t="s">
        <v>25</v>
      </c>
      <c r="B2" s="9" t="s">
        <v>26</v>
      </c>
      <c r="C2" s="6" t="s">
        <v>27</v>
      </c>
      <c r="D2" s="10">
        <v>0.0</v>
      </c>
      <c r="E2" s="6" t="s">
        <v>28</v>
      </c>
      <c r="F2" s="6" t="s">
        <v>29</v>
      </c>
    </row>
    <row r="3" ht="22.5" customHeight="1">
      <c r="A3" s="6" t="s">
        <v>30</v>
      </c>
      <c r="B3" s="9" t="s">
        <v>31</v>
      </c>
      <c r="C3" s="6" t="s">
        <v>27</v>
      </c>
      <c r="D3" s="10">
        <v>0.0</v>
      </c>
      <c r="E3" s="6" t="s">
        <v>28</v>
      </c>
      <c r="F3" s="6" t="s">
        <v>29</v>
      </c>
    </row>
    <row r="4" ht="22.5" customHeight="1">
      <c r="A4" s="6" t="s">
        <v>32</v>
      </c>
      <c r="B4" s="9" t="s">
        <v>33</v>
      </c>
      <c r="C4" s="6" t="s">
        <v>34</v>
      </c>
      <c r="D4" s="6" t="s">
        <v>35</v>
      </c>
      <c r="E4" s="6" t="s">
        <v>36</v>
      </c>
      <c r="F4" s="6" t="s">
        <v>37</v>
      </c>
    </row>
    <row r="5" ht="22.5" customHeight="1">
      <c r="A5" s="6" t="s">
        <v>38</v>
      </c>
      <c r="B5" s="6" t="s">
        <v>39</v>
      </c>
      <c r="C5" s="6" t="s">
        <v>27</v>
      </c>
      <c r="D5" s="6" t="s">
        <v>40</v>
      </c>
      <c r="E5" s="6" t="s">
        <v>41</v>
      </c>
      <c r="F5" s="6" t="s">
        <v>42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</hyperlinks>
  <printOptions/>
  <pageMargins bottom="1.0" footer="0.0" header="0.0" left="0.75" right="0.75" top="1.0"/>
  <pageSetup orientation="landscape"/>
  <drawing r:id="rId4"/>
  <tableParts count="1"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1.57"/>
    <col customWidth="1" min="2" max="2" width="70.86"/>
    <col customWidth="1" min="3" max="3" width="14.29"/>
    <col customWidth="1" min="4" max="4" width="31.0"/>
    <col customWidth="1" min="5" max="5" width="47.57"/>
    <col customWidth="1" min="6" max="26" width="8.71"/>
  </cols>
  <sheetData>
    <row r="1" ht="22.5" customHeight="1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ht="22.5" customHeight="1">
      <c r="A2" s="6" t="s">
        <v>48</v>
      </c>
      <c r="B2" s="6" t="s">
        <v>49</v>
      </c>
      <c r="C2" s="6" t="s">
        <v>50</v>
      </c>
      <c r="D2" s="6">
        <v>10.0</v>
      </c>
      <c r="E2" s="6" t="s">
        <v>51</v>
      </c>
    </row>
    <row r="3" ht="22.5" customHeight="1">
      <c r="A3" s="6" t="s">
        <v>52</v>
      </c>
      <c r="B3" s="6" t="s">
        <v>53</v>
      </c>
      <c r="C3" s="6" t="s">
        <v>50</v>
      </c>
      <c r="D3" s="6">
        <v>20.0</v>
      </c>
      <c r="E3" s="6" t="s">
        <v>51</v>
      </c>
    </row>
    <row r="4" ht="22.5" customHeight="1">
      <c r="A4" s="6" t="s">
        <v>54</v>
      </c>
      <c r="B4" s="6" t="s">
        <v>55</v>
      </c>
      <c r="C4" s="6" t="s">
        <v>50</v>
      </c>
      <c r="D4" s="6">
        <v>10.0</v>
      </c>
      <c r="E4" s="6" t="s">
        <v>51</v>
      </c>
    </row>
    <row r="5" ht="22.5" customHeight="1">
      <c r="A5" s="6" t="s">
        <v>56</v>
      </c>
      <c r="B5" s="6" t="s">
        <v>57</v>
      </c>
      <c r="C5" s="6" t="s">
        <v>50</v>
      </c>
      <c r="D5" s="6">
        <v>20.0</v>
      </c>
      <c r="E5" s="6" t="s">
        <v>51</v>
      </c>
    </row>
    <row r="6" ht="22.5" customHeight="1">
      <c r="A6" s="6" t="s">
        <v>58</v>
      </c>
      <c r="B6" s="6" t="s">
        <v>59</v>
      </c>
      <c r="C6" s="6" t="s">
        <v>50</v>
      </c>
      <c r="D6" s="6">
        <v>60.0</v>
      </c>
      <c r="E6" s="6" t="s">
        <v>60</v>
      </c>
    </row>
    <row r="7" ht="22.5" customHeight="1">
      <c r="A7" s="6" t="s">
        <v>61</v>
      </c>
      <c r="B7" s="6" t="s">
        <v>62</v>
      </c>
      <c r="C7" s="6" t="s">
        <v>63</v>
      </c>
      <c r="D7" s="6">
        <v>35.0</v>
      </c>
      <c r="E7" s="6" t="s">
        <v>64</v>
      </c>
    </row>
    <row r="8" ht="22.5" customHeight="1">
      <c r="A8" s="6" t="s">
        <v>65</v>
      </c>
      <c r="B8" s="6" t="s">
        <v>66</v>
      </c>
      <c r="C8" s="6" t="s">
        <v>63</v>
      </c>
      <c r="D8" s="6">
        <v>40.0</v>
      </c>
      <c r="E8" s="6" t="s">
        <v>67</v>
      </c>
    </row>
    <row r="9" ht="22.5" customHeight="1">
      <c r="A9" s="6" t="s">
        <v>68</v>
      </c>
      <c r="B9" s="6" t="s">
        <v>69</v>
      </c>
      <c r="C9" s="6" t="s">
        <v>70</v>
      </c>
      <c r="D9" s="6">
        <v>35.0</v>
      </c>
      <c r="E9" s="6" t="s">
        <v>71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3.0"/>
    <col customWidth="1" min="2" max="2" width="29.71"/>
    <col customWidth="1" min="3" max="3" width="24.71"/>
    <col customWidth="1" min="4" max="4" width="11.57"/>
    <col customWidth="1" min="5" max="26" width="8.71"/>
  </cols>
  <sheetData>
    <row r="1" ht="22.5" customHeight="1">
      <c r="A1" s="1" t="s">
        <v>72</v>
      </c>
      <c r="B1" s="1" t="s">
        <v>73</v>
      </c>
      <c r="C1" s="1" t="s">
        <v>74</v>
      </c>
      <c r="D1" s="1" t="s">
        <v>75</v>
      </c>
    </row>
    <row r="2" ht="22.5" customHeight="1">
      <c r="A2" s="2" t="s">
        <v>76</v>
      </c>
      <c r="B2" s="6">
        <v>45.0</v>
      </c>
      <c r="C2" s="6">
        <v>60.0</v>
      </c>
      <c r="D2" s="2">
        <f t="shared" ref="D2:D7" si="1">B2*C2</f>
        <v>2700</v>
      </c>
    </row>
    <row r="3" ht="22.5" customHeight="1">
      <c r="A3" s="2" t="s">
        <v>77</v>
      </c>
      <c r="B3" s="6">
        <v>45.0</v>
      </c>
      <c r="C3" s="6">
        <v>60.0</v>
      </c>
      <c r="D3" s="2">
        <f t="shared" si="1"/>
        <v>2700</v>
      </c>
    </row>
    <row r="4" ht="22.5" customHeight="1">
      <c r="A4" s="6" t="s">
        <v>78</v>
      </c>
      <c r="B4" s="6">
        <v>45.0</v>
      </c>
      <c r="C4" s="6">
        <v>60.0</v>
      </c>
      <c r="D4" s="2">
        <f t="shared" si="1"/>
        <v>2700</v>
      </c>
    </row>
    <row r="5" ht="22.5" customHeight="1">
      <c r="A5" s="6" t="s">
        <v>79</v>
      </c>
      <c r="B5" s="6">
        <v>45.0</v>
      </c>
      <c r="C5" s="6">
        <v>60.0</v>
      </c>
      <c r="D5" s="2">
        <f t="shared" si="1"/>
        <v>2700</v>
      </c>
    </row>
    <row r="6" ht="22.5" customHeight="1">
      <c r="A6" s="6" t="s">
        <v>80</v>
      </c>
      <c r="B6" s="6">
        <v>45.0</v>
      </c>
      <c r="C6" s="6">
        <v>60.0</v>
      </c>
      <c r="D6" s="2">
        <f t="shared" si="1"/>
        <v>2700</v>
      </c>
    </row>
    <row r="7" ht="22.5" customHeight="1">
      <c r="A7" s="6" t="s">
        <v>81</v>
      </c>
      <c r="B7" s="6">
        <v>45.0</v>
      </c>
      <c r="C7" s="6">
        <v>60.0</v>
      </c>
      <c r="D7" s="2">
        <f t="shared" si="1"/>
        <v>2700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14"/>
    <col customWidth="1" min="2" max="2" width="32.43"/>
    <col customWidth="1" min="3" max="3" width="10.71"/>
    <col customWidth="1" min="4" max="4" width="33.14"/>
    <col customWidth="1" min="5" max="5" width="20.86"/>
    <col customWidth="1" min="6" max="6" width="69.57"/>
    <col customWidth="1" min="7" max="26" width="8.71"/>
  </cols>
  <sheetData>
    <row r="1" ht="22.5" customHeight="1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ht="22.5" customHeight="1">
      <c r="A2" s="2" t="s">
        <v>88</v>
      </c>
      <c r="B2" s="6" t="s">
        <v>89</v>
      </c>
      <c r="C2" s="6">
        <v>6.0</v>
      </c>
      <c r="D2" s="11">
        <v>0.0</v>
      </c>
      <c r="E2" s="11">
        <f t="shared" ref="E2:E7" si="1">C2*D2</f>
        <v>0</v>
      </c>
      <c r="F2" s="6" t="s">
        <v>90</v>
      </c>
    </row>
    <row r="3" ht="22.5" customHeight="1">
      <c r="A3" s="2" t="s">
        <v>91</v>
      </c>
      <c r="B3" s="6" t="s">
        <v>89</v>
      </c>
      <c r="C3" s="6">
        <v>6.0</v>
      </c>
      <c r="D3" s="11">
        <v>0.0</v>
      </c>
      <c r="E3" s="11">
        <f t="shared" si="1"/>
        <v>0</v>
      </c>
      <c r="F3" s="6" t="s">
        <v>92</v>
      </c>
    </row>
    <row r="4" ht="22.5" customHeight="1">
      <c r="A4" s="6" t="s">
        <v>93</v>
      </c>
      <c r="B4" s="6" t="s">
        <v>94</v>
      </c>
      <c r="C4" s="6">
        <v>6.0</v>
      </c>
      <c r="D4" s="11">
        <v>0.0</v>
      </c>
      <c r="E4" s="11">
        <f t="shared" si="1"/>
        <v>0</v>
      </c>
      <c r="F4" s="6" t="s">
        <v>95</v>
      </c>
    </row>
    <row r="5" ht="22.5" customHeight="1">
      <c r="A5" s="2" t="s">
        <v>96</v>
      </c>
      <c r="B5" s="6" t="s">
        <v>97</v>
      </c>
      <c r="C5" s="6">
        <v>5.0</v>
      </c>
      <c r="D5" s="11">
        <v>3999.99</v>
      </c>
      <c r="E5" s="11">
        <f t="shared" si="1"/>
        <v>19999.95</v>
      </c>
      <c r="F5" s="12" t="s">
        <v>98</v>
      </c>
    </row>
    <row r="6" ht="22.5" customHeight="1">
      <c r="A6" s="2" t="s">
        <v>99</v>
      </c>
      <c r="B6" s="6" t="s">
        <v>89</v>
      </c>
      <c r="C6" s="6">
        <v>6.0</v>
      </c>
      <c r="D6" s="11">
        <v>99.99</v>
      </c>
      <c r="E6" s="11">
        <f t="shared" si="1"/>
        <v>599.94</v>
      </c>
      <c r="F6" s="12" t="s">
        <v>100</v>
      </c>
    </row>
    <row r="7" ht="22.5" customHeight="1">
      <c r="A7" s="6" t="s">
        <v>101</v>
      </c>
      <c r="B7" s="6" t="s">
        <v>97</v>
      </c>
      <c r="C7" s="6">
        <v>1.0</v>
      </c>
      <c r="D7" s="11">
        <v>2999.99</v>
      </c>
      <c r="E7" s="11">
        <f t="shared" si="1"/>
        <v>2999.99</v>
      </c>
      <c r="F7" s="12" t="s">
        <v>98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dataValidations>
    <dataValidation type="custom" allowBlank="1" showDropDown="1" sqref="D2:D7">
      <formula1>AND(ISNUMBER(D2),(NOT(OR(NOT(ISERROR(DATEVALUE(D2))), AND(ISNUMBER(D2), LEFT(CELL("format", D2))="D")))))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71"/>
    <col customWidth="1" min="2" max="2" width="32.0"/>
    <col customWidth="1" min="3" max="3" width="48.14"/>
    <col customWidth="1" min="4" max="26" width="8.71"/>
  </cols>
  <sheetData>
    <row r="1" ht="22.5" customHeight="1">
      <c r="A1" s="1" t="s">
        <v>102</v>
      </c>
      <c r="B1" s="1" t="s">
        <v>103</v>
      </c>
      <c r="C1" s="1" t="s">
        <v>87</v>
      </c>
    </row>
    <row r="2" ht="22.5" customHeight="1">
      <c r="A2" s="2" t="s">
        <v>104</v>
      </c>
      <c r="B2" s="11">
        <v>16200.0</v>
      </c>
    </row>
    <row r="3" ht="22.5" customHeight="1">
      <c r="A3" s="2" t="s">
        <v>105</v>
      </c>
      <c r="B3" s="11">
        <v>22999.94</v>
      </c>
      <c r="C3" s="12" t="s">
        <v>106</v>
      </c>
    </row>
    <row r="4" ht="22.5" customHeight="1">
      <c r="A4" s="6" t="s">
        <v>107</v>
      </c>
      <c r="B4" s="11">
        <v>96.0</v>
      </c>
    </row>
    <row r="5" ht="22.5" customHeight="1">
      <c r="A5" s="2" t="s">
        <v>108</v>
      </c>
      <c r="B5" s="11">
        <v>0.0</v>
      </c>
    </row>
    <row r="6" ht="22.5" customHeight="1">
      <c r="A6" s="2" t="s">
        <v>109</v>
      </c>
      <c r="B6" s="11">
        <v>0.0</v>
      </c>
    </row>
    <row r="7" ht="22.5" customHeight="1">
      <c r="A7" s="2" t="s">
        <v>110</v>
      </c>
      <c r="B7" s="11">
        <v>54.0</v>
      </c>
      <c r="C7" s="12" t="s">
        <v>111</v>
      </c>
    </row>
    <row r="8" ht="22.5" customHeight="1">
      <c r="A8" s="2" t="s">
        <v>112</v>
      </c>
      <c r="B8" s="11">
        <f>B2+B3+B3+B5+B6+B7</f>
        <v>62253.88</v>
      </c>
    </row>
    <row r="9" ht="22.5" customHeight="1">
      <c r="A9" s="12" t="s">
        <v>113</v>
      </c>
      <c r="B9" s="11">
        <f>B4+B4+B6+B7+B5+B2</f>
        <v>16446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9">
      <formula1>AND(ISNUMBER(B2),(NOT(OR(NOT(ISERROR(DATEVALUE(B2))), AND(ISNUMBER(B2), LEFT(CELL("format", B2))="D")))))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